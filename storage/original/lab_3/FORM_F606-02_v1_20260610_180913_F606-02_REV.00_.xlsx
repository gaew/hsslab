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606-02" sheetId="1" r:id="rId4"/>
  </sheets>
  <definedNames/>
  <calcPr/>
  <extLst>
    <ext uri="GoogleSheetsCustomDataVersion2">
      <go:sheetsCustomData xmlns:go="http://customooxmlschemas.google.com/" r:id="rId5" roundtripDataChecksum="nRUaZz/X9TtL1S4USo4Pt0BIBCDzOcmjbNq7b3Ahje4="/>
    </ext>
  </extLst>
</workbook>
</file>

<file path=xl/sharedStrings.xml><?xml version="1.0" encoding="utf-8"?>
<sst xmlns="http://schemas.openxmlformats.org/spreadsheetml/2006/main" count="30" uniqueCount="30">
  <si>
    <t>แบบประเมินผู้ขายหรือผู้ให้บริการสินค้า</t>
  </si>
  <si>
    <t>ชื่อผู้ขายหรือผู้ให้บริการสินค้า</t>
  </si>
  <si>
    <t>สินค้าหรือบริการ</t>
  </si>
  <si>
    <t>ที่</t>
  </si>
  <si>
    <t>รายละเอียดการประเมิน</t>
  </si>
  <si>
    <t>ค่าน้ำหนัก</t>
  </si>
  <si>
    <t>ระดับการประเมิน</t>
  </si>
  <si>
    <t>ดีมาก</t>
  </si>
  <si>
    <t>ดี</t>
  </si>
  <si>
    <t>ปานกลาง</t>
  </si>
  <si>
    <t>พอใช้</t>
  </si>
  <si>
    <t>ปรับปรุง</t>
  </si>
  <si>
    <t xml:space="preserve">ความครบถ้วนของสิ่งส่งมอบตามข้อกำหนด </t>
  </si>
  <si>
    <t>เวลาการส่งมอบ</t>
  </si>
  <si>
    <t>บริการหลังการขาย</t>
  </si>
  <si>
    <t>การติดต่อประสานงาน</t>
  </si>
  <si>
    <t>สภาพเครื่องที่ส่งมอบ คุณภาพผลิตภัณฑ์</t>
  </si>
  <si>
    <t>ราคาความเหมาะสม</t>
  </si>
  <si>
    <t>คะแนนรวม</t>
  </si>
  <si>
    <t>คะแนนเปอร์เซ็นต์รวม</t>
  </si>
  <si>
    <t>เกรด</t>
  </si>
  <si>
    <t>ความคิดเห็นอื่นๆ</t>
  </si>
  <si>
    <t>...ใส่ความคิดเห็น...</t>
  </si>
  <si>
    <t>หมายเหตุ</t>
  </si>
  <si>
    <t>1. เกณฑ์การให้เกรด</t>
  </si>
  <si>
    <t xml:space="preserve">"ดีมาก"  :  85 % - 100 %  "ดี"  :  70 % - 84 %  "พอใช้"  :  60 % - 69 %   "ตัดออกบัญชี"  :  ต่ำกว่า 60 % </t>
  </si>
  <si>
    <t xml:space="preserve">2. การให้คะแนนให้ พิมพ์ "หมายเลข 1" ลงในช่องจะแสดงเครื่องหมายถูกขึ้นมา </t>
  </si>
  <si>
    <t>ผู้ประเมิน</t>
  </si>
  <si>
    <t>ตำแหน่ง</t>
  </si>
  <si>
    <t>วันที่ประเมิน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</si>
</sst>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Tahoma"/>
      <scheme val="minor"/>
    </font>
    <font>
      <b/>
      <sz val="18.0"/>
      <color theme="0"/>
      <name val="TH Sarabun PSK"/>
    </font>
    <font/>
    <font>
      <sz val="16.0"/>
      <color theme="1"/>
      <name val="TH Sarabun PSK"/>
    </font>
    <font>
      <b/>
      <sz val="16.0"/>
      <color theme="1"/>
      <name val="TH Sarabun PSK"/>
    </font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AEEF3"/>
        <bgColor rgb="FFDAEEF3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0" fontId="4" numFmtId="0" xfId="0" applyBorder="1" applyFont="1"/>
    <xf borderId="1" fillId="0" fontId="3" numFmtId="0" xfId="0" applyAlignment="1" applyBorder="1" applyFont="1">
      <alignment horizontal="center"/>
    </xf>
    <xf borderId="1" fillId="0" fontId="4" numFmtId="0" xfId="0" applyAlignment="1" applyBorder="1" applyFont="1">
      <alignment horizontal="center"/>
    </xf>
    <xf borderId="5" fillId="3" fontId="4" numFmtId="0" xfId="0" applyAlignment="1" applyBorder="1" applyFill="1" applyFont="1">
      <alignment horizontal="center" vertical="center"/>
    </xf>
    <xf borderId="6" fillId="3" fontId="4" numFmtId="0" xfId="0" applyAlignment="1" applyBorder="1" applyFont="1">
      <alignment horizontal="center" vertical="center"/>
    </xf>
    <xf borderId="7" fillId="0" fontId="2" numFmtId="0" xfId="0" applyBorder="1" applyFont="1"/>
    <xf borderId="8" fillId="0" fontId="2" numFmtId="0" xfId="0" applyBorder="1" applyFont="1"/>
    <xf borderId="1" fillId="3" fontId="4" numFmtId="0" xfId="0" applyAlignment="1" applyBorder="1" applyFont="1">
      <alignment horizontal="center" vertical="center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4" fillId="3" fontId="4" numFmtId="0" xfId="0" applyAlignment="1" applyBorder="1" applyFont="1">
      <alignment horizontal="center" vertical="center"/>
    </xf>
    <xf borderId="4" fillId="3" fontId="4" numFmtId="0" xfId="0" applyAlignment="1" applyBorder="1" applyFont="1">
      <alignment horizontal="center" shrinkToFit="0" vertical="center" wrapText="1"/>
    </xf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4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left"/>
    </xf>
    <xf borderId="3" fillId="0" fontId="3" numFmtId="0" xfId="0" applyAlignment="1" applyBorder="1" applyFont="1">
      <alignment horizontal="center"/>
    </xf>
    <xf borderId="4" fillId="0" fontId="3" numFmtId="0" xfId="0" applyBorder="1" applyFont="1"/>
    <xf borderId="4" fillId="0" fontId="3" numFmtId="0" xfId="0" applyAlignment="1" applyBorder="1" applyFont="1">
      <alignment horizontal="center"/>
    </xf>
    <xf borderId="1" fillId="0" fontId="3" numFmtId="1" xfId="0" applyAlignment="1" applyBorder="1" applyFont="1" applyNumberFormat="1">
      <alignment horizontal="center"/>
    </xf>
    <xf borderId="6" fillId="0" fontId="4" numFmtId="0" xfId="0" applyBorder="1" applyFont="1"/>
    <xf borderId="7" fillId="0" fontId="3" numFmtId="0" xfId="0" applyBorder="1" applyFont="1"/>
    <xf borderId="8" fillId="0" fontId="3" numFmtId="0" xfId="0" applyBorder="1" applyFont="1"/>
    <xf borderId="13" fillId="0" fontId="3" numFmtId="0" xfId="0" applyAlignment="1" applyBorder="1" applyFont="1">
      <alignment horizontal="center" shrinkToFit="0" wrapText="1"/>
    </xf>
    <xf borderId="0" fillId="0" fontId="4" numFmtId="0" xfId="0" applyFont="1"/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0"/>
    <col customWidth="1" min="2" max="2" width="18.5"/>
    <col customWidth="1" min="3" max="3" width="15.5"/>
    <col customWidth="1" min="4" max="4" width="31.63"/>
    <col customWidth="1" min="5" max="5" width="15.13"/>
    <col customWidth="1" min="6" max="6" width="18.13"/>
    <col customWidth="1" min="7" max="7" width="8.63"/>
    <col customWidth="1" min="8" max="9" width="9.0"/>
    <col customWidth="1" min="10" max="10" width="13.13"/>
    <col customWidth="1" min="11" max="26" width="8.63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4.0" customHeight="1">
      <c r="A2" s="5" t="s">
        <v>1</v>
      </c>
      <c r="B2" s="5"/>
      <c r="C2" s="5"/>
      <c r="D2" s="6"/>
      <c r="E2" s="2"/>
      <c r="F2" s="2"/>
      <c r="G2" s="2"/>
      <c r="H2" s="2"/>
      <c r="I2" s="2"/>
      <c r="J2" s="3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4.0" customHeight="1">
      <c r="A3" s="5" t="s">
        <v>2</v>
      </c>
      <c r="B3" s="5"/>
      <c r="C3" s="7"/>
      <c r="D3" s="2"/>
      <c r="E3" s="2"/>
      <c r="F3" s="2"/>
      <c r="G3" s="2"/>
      <c r="H3" s="2"/>
      <c r="I3" s="2"/>
      <c r="J3" s="3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4.0" customHeight="1">
      <c r="A4" s="8" t="s">
        <v>3</v>
      </c>
      <c r="B4" s="9" t="s">
        <v>4</v>
      </c>
      <c r="C4" s="10"/>
      <c r="D4" s="11"/>
      <c r="E4" s="8" t="s">
        <v>5</v>
      </c>
      <c r="F4" s="12" t="s">
        <v>6</v>
      </c>
      <c r="G4" s="2"/>
      <c r="H4" s="2"/>
      <c r="I4" s="2"/>
      <c r="J4" s="3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4.0" customHeight="1">
      <c r="A5" s="13"/>
      <c r="B5" s="14"/>
      <c r="D5" s="15"/>
      <c r="E5" s="13"/>
      <c r="F5" s="16">
        <v>5.0</v>
      </c>
      <c r="G5" s="17">
        <v>4.0</v>
      </c>
      <c r="H5" s="17">
        <v>3.0</v>
      </c>
      <c r="I5" s="17">
        <v>2.0</v>
      </c>
      <c r="J5" s="17">
        <v>1.0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4.0" customHeight="1">
      <c r="A6" s="18"/>
      <c r="B6" s="19"/>
      <c r="C6" s="20"/>
      <c r="D6" s="21"/>
      <c r="E6" s="18"/>
      <c r="F6" s="16" t="s">
        <v>7</v>
      </c>
      <c r="G6" s="17" t="s">
        <v>8</v>
      </c>
      <c r="H6" s="17" t="s">
        <v>9</v>
      </c>
      <c r="I6" s="17" t="s">
        <v>10</v>
      </c>
      <c r="J6" s="17" t="s">
        <v>11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4.0" customHeight="1">
      <c r="A7" s="22">
        <v>1.0</v>
      </c>
      <c r="B7" s="23" t="s">
        <v>12</v>
      </c>
      <c r="C7" s="2"/>
      <c r="D7" s="3"/>
      <c r="E7" s="24">
        <v>50.0</v>
      </c>
      <c r="F7" s="25">
        <v>1.0</v>
      </c>
      <c r="G7" s="25"/>
      <c r="H7" s="25"/>
      <c r="I7" s="25"/>
      <c r="J7" s="25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4.0" customHeight="1">
      <c r="A8" s="22">
        <v>2.0</v>
      </c>
      <c r="B8" s="23" t="s">
        <v>13</v>
      </c>
      <c r="C8" s="2"/>
      <c r="D8" s="3"/>
      <c r="E8" s="24">
        <v>10.0</v>
      </c>
      <c r="F8" s="25">
        <v>1.0</v>
      </c>
      <c r="G8" s="25"/>
      <c r="H8" s="25"/>
      <c r="I8" s="25"/>
      <c r="J8" s="25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4.0" customHeight="1">
      <c r="A9" s="22">
        <v>3.0</v>
      </c>
      <c r="B9" s="23" t="s">
        <v>14</v>
      </c>
      <c r="C9" s="2"/>
      <c r="D9" s="3"/>
      <c r="E9" s="24">
        <v>10.0</v>
      </c>
      <c r="F9" s="25"/>
      <c r="G9" s="25"/>
      <c r="H9" s="25"/>
      <c r="I9" s="25"/>
      <c r="J9" s="25">
        <v>1.0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4.0" customHeight="1">
      <c r="A10" s="22">
        <v>4.0</v>
      </c>
      <c r="B10" s="23" t="s">
        <v>15</v>
      </c>
      <c r="C10" s="2"/>
      <c r="D10" s="3"/>
      <c r="E10" s="24">
        <v>10.0</v>
      </c>
      <c r="F10" s="25"/>
      <c r="G10" s="25"/>
      <c r="H10" s="25">
        <v>1.0</v>
      </c>
      <c r="I10" s="25"/>
      <c r="J10" s="25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4.0" customHeight="1">
      <c r="A11" s="22">
        <v>5.0</v>
      </c>
      <c r="B11" s="23" t="s">
        <v>16</v>
      </c>
      <c r="C11" s="2"/>
      <c r="D11" s="3"/>
      <c r="E11" s="24">
        <v>10.0</v>
      </c>
      <c r="F11" s="25">
        <v>1.0</v>
      </c>
      <c r="G11" s="25"/>
      <c r="H11" s="25"/>
      <c r="I11" s="25"/>
      <c r="J11" s="25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4.0" customHeight="1">
      <c r="A12" s="22">
        <v>6.0</v>
      </c>
      <c r="B12" s="23" t="s">
        <v>17</v>
      </c>
      <c r="C12" s="2"/>
      <c r="D12" s="3"/>
      <c r="E12" s="24">
        <v>10.0</v>
      </c>
      <c r="F12" s="25">
        <v>1.0</v>
      </c>
      <c r="G12" s="25"/>
      <c r="H12" s="25"/>
      <c r="I12" s="25"/>
      <c r="J12" s="25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4.0" customHeight="1">
      <c r="A13" s="6" t="s">
        <v>18</v>
      </c>
      <c r="B13" s="2"/>
      <c r="C13" s="2"/>
      <c r="D13" s="2"/>
      <c r="E13" s="3"/>
      <c r="F13" s="26">
        <f>(F7*(5/5*50))+(F8*(5/5*10))+(F9*(5/5*10))+(F10*(5/5*10))+(F11*(5/5*10))+(F12*(5/5*10))</f>
        <v>80</v>
      </c>
      <c r="G13" s="26">
        <f>(G7*(4/5*50))+(G8*(4/5*10))+(G9*(4/5*10))+(G10*(4/5*10))+(G11*(4/5*10))+(G12*(4/5*10))</f>
        <v>0</v>
      </c>
      <c r="H13" s="26">
        <f>(H7*(3/5*50))+(H8*(3/5*10))+(H9*(3/5*10))+(H10*(3/5*10))+(H11*(3/5*10))+(H12*(3/5*10))</f>
        <v>6</v>
      </c>
      <c r="I13" s="26">
        <f>(I7*(2/5*50))+(I8*(2/5*10))+(I9*(2/5*10))+(I10*(2/5*10))+(I11*(2/5*10))+(I12*(2/5*10))</f>
        <v>0</v>
      </c>
      <c r="J13" s="26">
        <f>(J7*(1/5*50))+(J8*(1/5*10))+(J9*(1/5*10))+(J10*(1/5*10))+(J11*(1/5*10))+(J12*(1/5*10))</f>
        <v>2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4.0" customHeight="1">
      <c r="A14" s="6" t="s">
        <v>19</v>
      </c>
      <c r="B14" s="2"/>
      <c r="C14" s="2"/>
      <c r="D14" s="2"/>
      <c r="E14" s="3"/>
      <c r="F14" s="27">
        <f>IF(SUM(F13:J13)&gt;100,"ท่านใส่คะแนนผิด",SUM(F13:J13))</f>
        <v>88</v>
      </c>
      <c r="G14" s="2"/>
      <c r="H14" s="26" t="s">
        <v>20</v>
      </c>
      <c r="I14" s="6" t="str">
        <f>IF(F14&gt;=85,"ดีมาก",IF(F14&gt;=70,"ดี",IF(F14&gt;=60,"พอใช้","ตัดออกบัญชี")))</f>
        <v>ดีมาก</v>
      </c>
      <c r="J14" s="3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4.0" customHeight="1">
      <c r="A15" s="28" t="s">
        <v>21</v>
      </c>
      <c r="B15" s="29"/>
      <c r="C15" s="29"/>
      <c r="D15" s="29"/>
      <c r="E15" s="29"/>
      <c r="F15" s="29"/>
      <c r="G15" s="29"/>
      <c r="H15" s="29"/>
      <c r="I15" s="29"/>
      <c r="J15" s="30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4.0" customHeight="1">
      <c r="A16" s="31" t="s">
        <v>22</v>
      </c>
      <c r="B16" s="20"/>
      <c r="C16" s="20"/>
      <c r="D16" s="20"/>
      <c r="E16" s="20"/>
      <c r="F16" s="20"/>
      <c r="G16" s="20"/>
      <c r="H16" s="20"/>
      <c r="I16" s="20"/>
      <c r="J16" s="21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4.0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4.0" customHeight="1">
      <c r="A18" s="32" t="s">
        <v>23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4.0" customHeight="1">
      <c r="A19" s="4"/>
      <c r="B19" s="32" t="s">
        <v>24</v>
      </c>
      <c r="C19" s="32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4.0" customHeight="1">
      <c r="A20" s="4"/>
      <c r="B20" s="4" t="s">
        <v>25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4.0" customHeight="1">
      <c r="A21" s="4"/>
      <c r="B21" s="32" t="s">
        <v>26</v>
      </c>
      <c r="C21" s="32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4.0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4.0" customHeight="1">
      <c r="A23" s="4"/>
      <c r="B23" s="4"/>
      <c r="C23" s="4"/>
      <c r="D23" s="4"/>
      <c r="E23" s="4"/>
      <c r="F23" s="32" t="s">
        <v>27</v>
      </c>
      <c r="G23" s="33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4.0" customHeight="1">
      <c r="A24" s="4"/>
      <c r="B24" s="4"/>
      <c r="C24" s="4"/>
      <c r="D24" s="4"/>
      <c r="E24" s="4"/>
      <c r="F24" s="32" t="s">
        <v>28</v>
      </c>
      <c r="G24" s="33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4.0" customHeight="1">
      <c r="A25" s="4"/>
      <c r="B25" s="4"/>
      <c r="C25" s="4"/>
      <c r="D25" s="4"/>
      <c r="E25" s="4"/>
      <c r="F25" s="32" t="s">
        <v>29</v>
      </c>
      <c r="G25" s="33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4.0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4.0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4.0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4.0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4.0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4.0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4.0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4.0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4.0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4.0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4.0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4.0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4.0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4.0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4.0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4.0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4.0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4.0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4.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4.0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4.0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4.0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4.0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4.0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4.0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4.0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4.0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4.0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4.0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4.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4.0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4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4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4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4.0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4.0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4.0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4.0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4.0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4.0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4.0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4.0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4.0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4.0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4.0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4.0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24.0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4.0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4.0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4.0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24.0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24.0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4.0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4.0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4.0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4.0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24.0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4.0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24.0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4.0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24.0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24.0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24.0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4.0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24.0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24.0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24.0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24.0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24.0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24.0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24.0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24.0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24.0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24.0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24.0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24.0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24.0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24.0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24.0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24.0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24.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24.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24.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24.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24.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24.0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24.0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24.0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24.0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24.0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24.0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24.0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24.0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24.0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24.0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24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24.0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24.0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24.0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24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24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24.0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24.0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24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24.0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24.0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24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24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24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24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24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24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24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24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24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24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24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24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24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24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24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24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24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24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24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24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24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24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24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24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24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24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24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24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24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24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24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24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24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24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24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24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24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24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24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24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24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24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24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24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24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24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24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24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24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24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24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24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24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24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24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24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24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24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24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24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24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24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24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24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24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24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24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24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24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24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24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24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24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24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24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24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24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24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24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24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24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24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24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24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24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24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24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24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24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24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24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24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24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24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24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24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24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24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24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24.0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24.0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24.0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24.0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24.0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24.0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24.0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24.0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24.0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24.0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24.0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24.0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24.0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24.0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24.0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24.0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24.0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24.0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24.0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24.0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24.0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24.0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24.0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24.0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24.0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24.0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24.0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24.0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24.0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24.0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24.0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24.0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24.0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24.0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24.0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24.0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24.0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24.0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24.0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24.0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24.0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24.0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24.0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24.0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24.0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24.0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24.0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24.0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24.0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24.0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24.0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24.0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24.0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24.0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24.0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24.0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24.0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24.0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24.0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24.0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24.0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24.0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24.0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24.0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24.0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24.0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24.0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24.0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24.0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24.0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24.0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24.0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24.0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24.0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24.0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24.0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24.0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24.0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24.0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24.0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24.0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24.0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24.0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24.0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24.0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24.0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24.0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24.0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24.0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24.0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24.0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24.0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24.0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24.0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24.0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24.0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24.0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24.0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24.0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24.0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24.0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24.0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24.0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24.0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24.0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24.0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24.0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24.0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24.0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24.0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24.0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24.0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24.0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24.0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24.0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24.0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24.0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24.0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24.0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24.0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24.0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24.0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24.0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24.0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24.0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24.0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24.0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24.0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24.0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24.0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24.0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24.0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24.0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24.0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24.0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24.0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24.0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24.0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24.0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24.0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24.0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24.0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24.0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24.0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24.0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24.0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24.0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24.0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24.0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24.0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24.0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24.0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24.0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24.0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24.0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24.0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24.0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24.0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24.0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24.0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24.0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24.0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24.0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24.0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24.0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24.0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24.0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24.0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24.0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24.0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24.0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24.0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24.0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24.0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24.0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24.0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24.0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24.0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24.0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24.0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24.0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24.0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24.0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24.0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24.0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24.0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24.0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24.0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24.0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24.0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24.0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24.0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24.0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24.0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24.0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24.0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24.0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24.0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24.0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24.0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24.0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24.0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24.0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24.0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24.0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24.0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24.0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24.0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24.0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24.0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24.0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24.0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24.0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24.0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24.0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24.0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24.0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24.0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24.0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24.0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24.0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24.0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24.0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24.0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24.0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24.0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24.0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24.0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24.0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24.0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24.0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24.0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24.0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24.0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24.0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24.0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24.0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24.0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24.0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24.0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24.0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24.0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24.0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24.0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24.0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24.0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24.0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24.0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24.0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24.0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24.0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24.0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24.0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24.0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24.0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24.0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24.0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24.0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24.0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24.0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24.0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24.0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24.0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24.0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24.0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24.0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24.0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24.0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24.0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24.0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24.0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24.0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24.0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24.0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24.0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24.0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24.0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24.0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24.0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24.0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24.0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24.0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24.0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24.0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24.0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24.0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24.0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24.0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24.0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24.0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24.0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24.0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24.0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24.0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24.0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24.0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24.0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24.0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24.0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24.0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24.0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24.0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24.0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24.0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24.0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24.0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24.0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24.0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24.0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24.0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24.0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24.0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24.0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24.0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24.0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24.0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24.0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24.0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24.0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24.0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24.0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24.0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24.0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24.0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24.0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24.0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24.0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24.0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24.0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24.0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24.0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24.0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24.0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24.0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24.0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24.0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24.0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24.0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24.0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24.0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24.0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24.0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24.0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24.0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24.0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24.0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24.0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24.0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24.0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24.0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24.0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24.0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24.0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24.0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24.0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24.0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24.0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24.0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24.0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24.0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24.0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24.0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24.0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24.0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24.0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24.0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24.0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24.0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24.0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24.0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24.0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24.0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24.0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24.0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24.0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24.0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24.0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24.0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24.0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24.0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24.0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24.0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24.0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24.0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24.0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24.0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24.0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24.0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24.0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24.0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24.0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24.0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24.0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24.0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24.0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24.0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24.0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24.0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24.0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24.0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24.0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24.0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24.0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24.0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24.0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24.0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24.0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24.0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24.0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24.0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24.0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24.0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24.0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24.0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24.0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24.0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24.0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24.0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24.0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24.0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24.0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24.0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24.0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24.0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24.0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24.0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24.0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24.0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24.0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24.0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24.0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24.0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24.0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24.0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24.0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24.0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24.0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24.0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24.0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24.0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24.0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24.0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24.0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24.0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24.0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24.0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24.0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24.0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24.0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24.0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24.0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24.0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24.0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24.0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24.0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24.0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24.0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24.0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24.0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24.0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24.0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24.0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24.0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24.0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24.0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24.0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24.0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24.0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24.0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24.0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24.0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24.0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24.0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24.0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24.0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24.0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24.0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24.0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24.0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24.0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24.0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24.0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24.0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24.0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24.0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24.0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24.0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24.0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24.0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24.0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24.0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24.0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24.0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24.0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24.0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24.0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24.0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24.0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24.0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24.0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24.0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24.0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24.0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24.0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24.0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24.0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24.0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24.0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24.0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24.0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24.0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24.0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24.0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24.0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24.0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24.0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24.0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24.0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24.0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24.0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24.0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24.0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24.0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24.0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24.0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24.0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24.0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24.0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24.0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24.0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24.0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24.0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24.0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24.0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24.0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24.0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24.0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24.0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24.0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24.0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24.0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24.0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24.0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24.0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24.0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24.0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24.0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24.0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24.0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24.0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24.0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24.0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24.0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24.0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24.0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24.0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24.0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24.0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24.0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24.0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24.0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24.0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24.0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24.0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24.0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24.0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24.0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24.0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24.0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24.0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24.0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24.0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24.0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24.0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24.0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24.0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24.0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24.0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24.0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24.0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24.0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24.0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24.0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24.0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24.0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24.0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24.0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24.0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24.0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24.0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24.0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24.0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24.0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24.0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24.0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24.0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24.0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24.0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24.0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24.0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24.0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24.0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24.0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24.0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24.0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24.0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24.0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24.0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24.0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24.0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24.0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24.0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24.0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24.0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24.0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24.0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24.0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24.0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24.0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24.0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24.0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24.0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24.0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24.0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24.0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24.0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24.0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24.0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24.0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24.0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24.0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24.0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24.0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24.0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24.0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24.0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24.0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24.0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24.0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24.0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24.0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24.0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24.0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24.0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24.0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24.0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24.0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24.0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24.0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24.0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24.0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24.0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24.0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24.0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24.0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24.0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24.0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24.0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24.0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24.0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24.0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24.0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24.0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24.0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24.0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24.0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24.0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24.0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24.0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24.0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24.0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24.0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24.0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24.0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24.0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24.0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24.0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24.0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24.0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24.0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24.0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24.0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24.0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24.0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24.0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24.0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24.0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24.0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24.0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24.0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24.0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24.0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24.0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24.0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24.0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24.0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24.0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24.0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24.0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24.0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24.0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24.0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24.0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24.0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24.0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24.0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24.0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24.0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24.0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24.0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24.0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24.0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24.0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24.0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24.0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24.0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24.0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24.0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24.0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24.0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24.0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24.0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24.0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24.0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24.0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24.0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24.0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24.0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24.0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24.0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24.0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24.0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24.0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24.0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24.0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24.0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24.0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24.0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24.0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24.0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24.0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24.0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24.0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24.0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24.0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24.0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24.0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24.0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24.0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24.0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24.0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24.0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24.0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24.0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24.0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24.0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24.0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24.0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24.0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24.0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24.0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24.0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24.0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24.0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24.0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24.0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24.0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24.0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24.0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24.0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1">
    <mergeCell ref="A1:J1"/>
    <mergeCell ref="D2:J2"/>
    <mergeCell ref="C3:J3"/>
    <mergeCell ref="A4:A6"/>
    <mergeCell ref="B4:D6"/>
    <mergeCell ref="E4:E6"/>
    <mergeCell ref="F4:J4"/>
    <mergeCell ref="A14:E14"/>
    <mergeCell ref="F14:G14"/>
    <mergeCell ref="I14:J14"/>
    <mergeCell ref="A16:J16"/>
    <mergeCell ref="G23:J23"/>
    <mergeCell ref="G24:J24"/>
    <mergeCell ref="G25:J25"/>
    <mergeCell ref="B7:D7"/>
    <mergeCell ref="B8:D8"/>
    <mergeCell ref="B9:D9"/>
    <mergeCell ref="B10:D10"/>
    <mergeCell ref="B11:D11"/>
    <mergeCell ref="B12:D12"/>
    <mergeCell ref="A13:E13"/>
  </mergeCells>
  <printOptions/>
  <pageMargins bottom="0.7480314960629921" footer="0.0" header="0.0" left="0.31496062992125984" right="0.31496062992125984" top="0.7874015748031497"/>
  <pageSetup paperSize="9" orientation="portrait"/>
  <headerFooter>
    <oddHeader>&amp;LF606/02 (REV.00)&amp;Rหน้า &amp;P จาก </oddHead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2019-10-25T07:20:39Z</dcterms:created>
  <dc:creator>กองวิศวกรรมการแพทย์</dc:creator>
</cp:coreProperties>
</file>